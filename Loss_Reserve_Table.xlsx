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Ng Jing Jia\Python Projects\"/>
    </mc:Choice>
  </mc:AlternateContent>
  <xr:revisionPtr revIDLastSave="0" documentId="13_ncr:1_{95657398-89EC-4B25-8D46-C8C9C97648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D39" i="1"/>
  <c r="C39" i="1"/>
  <c r="C41" i="1"/>
  <c r="D38" i="1" s="1"/>
</calcChain>
</file>

<file path=xl/sharedStrings.xml><?xml version="1.0" encoding="utf-8"?>
<sst xmlns="http://schemas.openxmlformats.org/spreadsheetml/2006/main" count="4" uniqueCount="4">
  <si>
    <t>fnol_month</t>
  </si>
  <si>
    <t>Cummulative Development Factor</t>
  </si>
  <si>
    <t>1 to 2</t>
  </si>
  <si>
    <t>April 2023 IBNR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</si>
</sst>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18" zoomScale="102" zoomScaleNormal="80" workbookViewId="0">
      <selection activeCell="F37" sqref="F37"/>
    </sheetView>
  </sheetViews>
  <sheetFormatPr defaultRowHeight="14.4" x14ac:dyDescent="0.3"/>
  <cols>
    <col min="1" max="1" width="29.109375" bestFit="1" customWidth="1"/>
    <col min="2" max="2" width="11.6640625" customWidth="1"/>
    <col min="3" max="3" width="12.88671875" customWidth="1"/>
    <col min="4" max="4" width="13.21875" customWidth="1"/>
  </cols>
  <sheetData>
    <row r="1" spans="1:4" x14ac:dyDescent="0.3">
      <c r="A1" t="s">
        <v>0</v>
      </c>
      <c r="B1">
        <v>0</v>
      </c>
      <c r="C1">
        <v>1</v>
      </c>
      <c r="D1">
        <v>2</v>
      </c>
    </row>
    <row r="2" spans="1:4" x14ac:dyDescent="0.3">
      <c r="A2" s="1">
        <v>43922</v>
      </c>
      <c r="B2">
        <v>8657.7900000000009</v>
      </c>
      <c r="C2">
        <v>2814020.68</v>
      </c>
      <c r="D2">
        <v>2969746.2</v>
      </c>
    </row>
    <row r="3" spans="1:4" x14ac:dyDescent="0.3">
      <c r="A3" s="1">
        <v>43952</v>
      </c>
      <c r="B3">
        <v>306846.39</v>
      </c>
      <c r="C3">
        <v>4634235.3999999994</v>
      </c>
      <c r="D3">
        <v>4881065.4099999992</v>
      </c>
    </row>
    <row r="4" spans="1:4" x14ac:dyDescent="0.3">
      <c r="A4" s="1">
        <v>43983</v>
      </c>
      <c r="B4">
        <v>228509.01</v>
      </c>
      <c r="C4">
        <v>4126520.43</v>
      </c>
      <c r="D4">
        <v>4252379.8599999994</v>
      </c>
    </row>
    <row r="5" spans="1:4" x14ac:dyDescent="0.3">
      <c r="A5" s="1">
        <v>44013</v>
      </c>
      <c r="B5">
        <v>359845.39</v>
      </c>
      <c r="C5">
        <v>4430451.0599999996</v>
      </c>
      <c r="D5">
        <v>4640930.34</v>
      </c>
    </row>
    <row r="6" spans="1:4" x14ac:dyDescent="0.3">
      <c r="A6" s="1">
        <v>44044</v>
      </c>
      <c r="B6">
        <v>269026.64</v>
      </c>
      <c r="C6">
        <v>4801021.54</v>
      </c>
      <c r="D6">
        <v>5073528.4400000004</v>
      </c>
    </row>
    <row r="7" spans="1:4" x14ac:dyDescent="0.3">
      <c r="A7" s="1">
        <v>44075</v>
      </c>
      <c r="B7">
        <v>232504.78</v>
      </c>
      <c r="C7">
        <v>4325231.42</v>
      </c>
      <c r="D7">
        <v>4485947.72</v>
      </c>
    </row>
    <row r="8" spans="1:4" x14ac:dyDescent="0.3">
      <c r="A8" s="1">
        <v>44105</v>
      </c>
      <c r="B8">
        <v>278571.07</v>
      </c>
      <c r="C8">
        <v>4444499.1500000004</v>
      </c>
      <c r="D8">
        <v>4653372.4400000004</v>
      </c>
    </row>
    <row r="9" spans="1:4" x14ac:dyDescent="0.3">
      <c r="A9" s="1">
        <v>44136</v>
      </c>
      <c r="B9">
        <v>279475.82</v>
      </c>
      <c r="C9">
        <v>4410004.84</v>
      </c>
      <c r="D9">
        <v>4658039.96</v>
      </c>
    </row>
    <row r="10" spans="1:4" x14ac:dyDescent="0.3">
      <c r="A10" s="1">
        <v>44166</v>
      </c>
      <c r="B10">
        <v>347053.74</v>
      </c>
      <c r="C10">
        <v>4620199.38</v>
      </c>
      <c r="D10">
        <v>4792636.95</v>
      </c>
    </row>
    <row r="11" spans="1:4" x14ac:dyDescent="0.3">
      <c r="A11" s="1">
        <v>44197</v>
      </c>
      <c r="B11">
        <v>401764.05</v>
      </c>
      <c r="C11">
        <v>4127918.56</v>
      </c>
      <c r="D11">
        <v>4544498.93</v>
      </c>
    </row>
    <row r="12" spans="1:4" x14ac:dyDescent="0.3">
      <c r="A12" s="1">
        <v>44228</v>
      </c>
      <c r="B12">
        <v>134579.35999999999</v>
      </c>
      <c r="C12">
        <v>4118747.37</v>
      </c>
      <c r="D12">
        <v>4308831.6499999994</v>
      </c>
    </row>
    <row r="13" spans="1:4" x14ac:dyDescent="0.3">
      <c r="A13" s="1">
        <v>44256</v>
      </c>
      <c r="B13">
        <v>278641.42</v>
      </c>
      <c r="C13">
        <v>4312038.2</v>
      </c>
      <c r="D13">
        <v>4537337.8100000015</v>
      </c>
    </row>
    <row r="14" spans="1:4" x14ac:dyDescent="0.3">
      <c r="A14" s="1">
        <v>44287</v>
      </c>
      <c r="B14">
        <v>196261.02</v>
      </c>
      <c r="C14">
        <v>4490524.2899999991</v>
      </c>
      <c r="D14">
        <v>4643331.5699999994</v>
      </c>
    </row>
    <row r="15" spans="1:4" x14ac:dyDescent="0.3">
      <c r="A15" s="1">
        <v>44317</v>
      </c>
      <c r="B15">
        <v>369026.7</v>
      </c>
      <c r="C15">
        <v>4480191.63</v>
      </c>
      <c r="D15">
        <v>4663798.63</v>
      </c>
    </row>
    <row r="16" spans="1:4" x14ac:dyDescent="0.3">
      <c r="A16" s="1">
        <v>44348</v>
      </c>
      <c r="B16">
        <v>250914.43</v>
      </c>
      <c r="C16">
        <v>4321290.93</v>
      </c>
      <c r="D16">
        <v>4551537.8899999997</v>
      </c>
    </row>
    <row r="17" spans="1:4" x14ac:dyDescent="0.3">
      <c r="A17" s="1">
        <v>44378</v>
      </c>
      <c r="B17">
        <v>307037.46000000002</v>
      </c>
      <c r="C17">
        <v>4136566.61</v>
      </c>
      <c r="D17">
        <v>4338974.5999999996</v>
      </c>
    </row>
    <row r="18" spans="1:4" x14ac:dyDescent="0.3">
      <c r="A18" s="1">
        <v>44409</v>
      </c>
      <c r="B18">
        <v>270440.49</v>
      </c>
      <c r="C18">
        <v>4277203.4000000004</v>
      </c>
      <c r="D18">
        <v>4577292.4700000007</v>
      </c>
    </row>
    <row r="19" spans="1:4" x14ac:dyDescent="0.3">
      <c r="A19" s="1">
        <v>44440</v>
      </c>
      <c r="B19">
        <v>267467.53999999998</v>
      </c>
      <c r="C19">
        <v>4223706.5699999994</v>
      </c>
      <c r="D19">
        <v>4408154.76</v>
      </c>
    </row>
    <row r="20" spans="1:4" x14ac:dyDescent="0.3">
      <c r="A20" s="1">
        <v>44470</v>
      </c>
      <c r="B20">
        <v>314470.84000000003</v>
      </c>
      <c r="C20">
        <v>4387755.76</v>
      </c>
      <c r="D20">
        <v>4605764.1899999985</v>
      </c>
    </row>
    <row r="21" spans="1:4" x14ac:dyDescent="0.3">
      <c r="A21" s="1">
        <v>44501</v>
      </c>
      <c r="B21">
        <v>218023.09</v>
      </c>
      <c r="C21">
        <v>4518020.0599999996</v>
      </c>
      <c r="D21">
        <v>4708224.9499999993</v>
      </c>
    </row>
    <row r="22" spans="1:4" x14ac:dyDescent="0.3">
      <c r="A22" s="1">
        <v>44531</v>
      </c>
      <c r="B22">
        <v>344981.18</v>
      </c>
      <c r="C22">
        <v>4613178.7300000004</v>
      </c>
      <c r="D22">
        <v>4777642.8999999994</v>
      </c>
    </row>
    <row r="23" spans="1:4" x14ac:dyDescent="0.3">
      <c r="A23" s="1">
        <v>44562</v>
      </c>
      <c r="B23">
        <v>318635.49</v>
      </c>
      <c r="C23">
        <v>4226102.2</v>
      </c>
      <c r="D23">
        <v>4576482</v>
      </c>
    </row>
    <row r="24" spans="1:4" x14ac:dyDescent="0.3">
      <c r="A24" s="1">
        <v>44593</v>
      </c>
      <c r="B24">
        <v>103503.54</v>
      </c>
      <c r="C24">
        <v>4232652.0599999996</v>
      </c>
      <c r="D24">
        <v>4325578.55</v>
      </c>
    </row>
    <row r="25" spans="1:4" x14ac:dyDescent="0.3">
      <c r="A25" s="1">
        <v>44621</v>
      </c>
      <c r="B25">
        <v>270215.55</v>
      </c>
      <c r="C25">
        <v>4034710.02</v>
      </c>
      <c r="D25">
        <v>4280208.0199999996</v>
      </c>
    </row>
    <row r="26" spans="1:4" x14ac:dyDescent="0.3">
      <c r="A26" s="1">
        <v>44652</v>
      </c>
      <c r="B26">
        <v>280563.02</v>
      </c>
      <c r="C26">
        <v>4439555.92</v>
      </c>
      <c r="D26">
        <v>4594865.79</v>
      </c>
    </row>
    <row r="27" spans="1:4" x14ac:dyDescent="0.3">
      <c r="A27" s="1">
        <v>44682</v>
      </c>
      <c r="B27">
        <v>365844.1</v>
      </c>
      <c r="C27">
        <v>4275363.1399999997</v>
      </c>
      <c r="D27">
        <v>4500810.42</v>
      </c>
    </row>
    <row r="28" spans="1:4" x14ac:dyDescent="0.3">
      <c r="A28" s="1">
        <v>44713</v>
      </c>
      <c r="B28">
        <v>279506.3</v>
      </c>
      <c r="C28">
        <v>4514389.7300000004</v>
      </c>
      <c r="D28">
        <v>4707464.3299999991</v>
      </c>
    </row>
    <row r="29" spans="1:4" x14ac:dyDescent="0.3">
      <c r="A29" s="1">
        <v>44743</v>
      </c>
      <c r="B29">
        <v>304008.53999999998</v>
      </c>
      <c r="C29">
        <v>4696118.63</v>
      </c>
      <c r="D29">
        <v>4817361.63</v>
      </c>
    </row>
    <row r="30" spans="1:4" x14ac:dyDescent="0.3">
      <c r="A30" s="1">
        <v>44774</v>
      </c>
      <c r="B30">
        <v>457413.89</v>
      </c>
      <c r="C30">
        <v>4539527.83</v>
      </c>
      <c r="D30">
        <v>4825801.41</v>
      </c>
    </row>
    <row r="31" spans="1:4" x14ac:dyDescent="0.3">
      <c r="A31" s="1">
        <v>44805</v>
      </c>
      <c r="B31">
        <v>253023.79</v>
      </c>
      <c r="C31">
        <v>4340144.59</v>
      </c>
      <c r="D31">
        <v>4501579.26</v>
      </c>
    </row>
    <row r="32" spans="1:4" x14ac:dyDescent="0.3">
      <c r="A32" s="1">
        <v>44835</v>
      </c>
      <c r="B32">
        <v>303392.96000000002</v>
      </c>
      <c r="C32">
        <v>4557359.55</v>
      </c>
      <c r="D32">
        <v>4823006.6499999994</v>
      </c>
    </row>
    <row r="33" spans="1:4" x14ac:dyDescent="0.3">
      <c r="A33" s="1">
        <v>44866</v>
      </c>
      <c r="B33">
        <v>250031.6</v>
      </c>
      <c r="C33">
        <v>4476698.2399999993</v>
      </c>
      <c r="D33">
        <v>4606519.5599999996</v>
      </c>
    </row>
    <row r="34" spans="1:4" x14ac:dyDescent="0.3">
      <c r="A34" s="1">
        <v>44896</v>
      </c>
      <c r="B34">
        <v>227666.32</v>
      </c>
      <c r="C34">
        <v>4164030.08</v>
      </c>
      <c r="D34">
        <v>4318432.67</v>
      </c>
    </row>
    <row r="35" spans="1:4" x14ac:dyDescent="0.3">
      <c r="A35" s="1">
        <v>44927</v>
      </c>
      <c r="B35">
        <v>324532.73</v>
      </c>
      <c r="C35">
        <v>4369297.6099999994</v>
      </c>
      <c r="D35">
        <v>4836341.379999999</v>
      </c>
    </row>
    <row r="36" spans="1:4" x14ac:dyDescent="0.3">
      <c r="A36" s="1">
        <v>44958</v>
      </c>
      <c r="B36">
        <v>113725.21</v>
      </c>
      <c r="C36">
        <v>4218394.5199999996</v>
      </c>
      <c r="D36">
        <v>4365295.9300000006</v>
      </c>
    </row>
    <row r="37" spans="1:4" x14ac:dyDescent="0.3">
      <c r="A37" s="1">
        <v>44986</v>
      </c>
      <c r="B37">
        <v>356426.62</v>
      </c>
      <c r="C37">
        <v>4264299.58</v>
      </c>
      <c r="D37">
        <v>4531606.68</v>
      </c>
    </row>
    <row r="38" spans="1:4" x14ac:dyDescent="0.3">
      <c r="A38" s="1">
        <v>45017</v>
      </c>
      <c r="B38">
        <v>192995.93</v>
      </c>
      <c r="C38">
        <v>1273577.77</v>
      </c>
      <c r="D38" s="2">
        <f>C38*C41</f>
        <v>1336638.6900031592</v>
      </c>
    </row>
    <row r="39" spans="1:4" x14ac:dyDescent="0.3">
      <c r="C39">
        <f>SUM(C2:C37)</f>
        <v>155961969.7100001</v>
      </c>
      <c r="D39">
        <f>SUM(D2:D37)</f>
        <v>163684391.94999999</v>
      </c>
    </row>
    <row r="41" spans="1:4" x14ac:dyDescent="0.3">
      <c r="A41" t="s">
        <v>1</v>
      </c>
      <c r="B41" t="s">
        <v>2</v>
      </c>
      <c r="C41">
        <f>D39/C39</f>
        <v>1.049514777572758</v>
      </c>
    </row>
    <row r="43" spans="1:4" x14ac:dyDescent="0.3">
      <c r="A43" s="3" t="s">
        <v>3</v>
      </c>
      <c r="B43" s="2">
        <f>D38-C38</f>
        <v>63060.920003159204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Jing Jia</cp:lastModifiedBy>
  <dcterms:created xsi:type="dcterms:W3CDTF">2026-08-30T09:30:00Z</dcterms:created>
  <dcterms:modified xsi:type="dcterms:W3CDTF">2026-10-11T12:13:02Z</dcterms:modified>
</cp:coreProperties>
</file>